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" sheetId="1" state="visible" r:id="rId1"/>
    <sheet xmlns:r="http://schemas.openxmlformats.org/officeDocument/2006/relationships" name="전력예산" sheetId="2" state="visible" r:id="rId2"/>
    <sheet xmlns:r="http://schemas.openxmlformats.org/officeDocument/2006/relationships" name="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7D6"/>
      </patternFill>
    </fill>
    <fill>
      <patternFill patternType="solid">
        <fgColor rgb="00E8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40" customWidth="1" min="4" max="4"/>
    <col width="14" customWidth="1" min="5" max="5"/>
  </cols>
  <sheetData>
    <row r="1">
      <c r="A1" s="1" t="inlineStr">
        <is>
          <t>변수</t>
        </is>
      </c>
      <c r="B1" s="1" t="inlineStr">
        <is>
          <t>값</t>
        </is>
      </c>
      <c r="C1" s="1" t="inlineStr">
        <is>
          <t>단위</t>
        </is>
      </c>
      <c r="D1" s="1" t="inlineStr">
        <is>
          <t>출처/근거</t>
        </is>
      </c>
      <c r="E1" s="1" t="inlineStr">
        <is>
          <t>확인 날짜</t>
        </is>
      </c>
    </row>
    <row r="2">
      <c r="A2" t="inlineStr">
        <is>
          <t>일일 운전 시간</t>
        </is>
      </c>
      <c r="B2" s="2" t="n">
        <v>24</v>
      </c>
      <c r="C2" t="inlineStr">
        <is>
          <t>h</t>
        </is>
      </c>
      <c r="D2" t="inlineStr">
        <is>
          <t>README 0장 (24시간 연속 운전)</t>
        </is>
      </c>
    </row>
    <row r="3">
      <c r="A3" t="inlineStr">
        <is>
          <t>전원 정격 마진</t>
        </is>
      </c>
      <c r="B3" s="2" t="n"/>
      <c r="C3" t="inlineStr">
        <is>
          <t>비율 (예: 0.3)</t>
        </is>
      </c>
    </row>
    <row r="4">
      <c r="A4" t="inlineStr">
        <is>
          <t>주변 온도 (시험 조건)</t>
        </is>
      </c>
      <c r="B4" s="2" t="n"/>
      <c r="C4" t="inlineStr">
        <is>
          <t>°C</t>
        </is>
      </c>
    </row>
    <row r="5">
      <c r="A5" t="inlineStr">
        <is>
          <t>주변광 (시험 조건)</t>
        </is>
      </c>
      <c r="B5" s="2" t="n">
        <v>500</v>
      </c>
      <c r="C5" t="inlineStr">
        <is>
          <t>lux</t>
        </is>
      </c>
      <c r="D5" t="inlineStr">
        <is>
          <t>README 0장 (1차 목표 환경)</t>
        </is>
      </c>
    </row>
    <row r="8">
      <c r="A8" s="3" t="inlineStr">
        <is>
          <t>노란 칸 = 입력, 초록 칸 = 계산. 빈 입력은 미확인 변수로 취급한다.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3" customWidth="1" min="9" max="9"/>
    <col width="12" customWidth="1" min="10" max="10"/>
    <col width="14" customWidth="1" min="11" max="11"/>
    <col width="26" customWidth="1" min="12" max="12"/>
    <col width="12" customWidth="1" min="13" max="13"/>
    <col width="24" customWidth="1" min="14" max="14"/>
  </cols>
  <sheetData>
    <row r="1">
      <c r="A1" s="1" t="inlineStr">
        <is>
          <t>부품</t>
        </is>
      </c>
      <c r="B1" s="1" t="inlineStr">
        <is>
          <t>전원 레일</t>
        </is>
      </c>
      <c r="C1" s="1" t="inlineStr">
        <is>
          <t>전압 V</t>
        </is>
      </c>
      <c r="D1" s="1" t="inlineStr">
        <is>
          <t>평균 전류 A</t>
        </is>
      </c>
      <c r="E1" s="1" t="inlineStr">
        <is>
          <t>피크 전류 A</t>
        </is>
      </c>
      <c r="F1" s="1" t="inlineStr">
        <is>
          <t>평균 전력 W</t>
        </is>
      </c>
      <c r="G1" s="1" t="inlineStr">
        <is>
          <t>피크 전력 W</t>
        </is>
      </c>
      <c r="H1" s="1" t="inlineStr">
        <is>
          <t>듀티 (0–1)</t>
        </is>
      </c>
      <c r="I1" s="1" t="inlineStr">
        <is>
          <t>동작 시간 h/일</t>
        </is>
      </c>
      <c r="J1" s="1" t="inlineStr">
        <is>
          <t>유효 평균 W</t>
        </is>
      </c>
      <c r="K1" s="1" t="inlineStr">
        <is>
          <t>일일 에너지 Wh</t>
        </is>
      </c>
      <c r="L1" s="1" t="inlineStr">
        <is>
          <t>출처 (데이터시트/실측)</t>
        </is>
      </c>
      <c r="M1" s="1" t="inlineStr">
        <is>
          <t>확인 날짜</t>
        </is>
      </c>
      <c r="N1" s="1" t="inlineStr">
        <is>
          <t>비고</t>
        </is>
      </c>
    </row>
    <row r="2">
      <c r="A2" t="inlineStr">
        <is>
          <t>디스플레이</t>
        </is>
      </c>
      <c r="B2" s="2" t="n"/>
      <c r="C2" s="2" t="n"/>
      <c r="D2" s="2" t="n"/>
      <c r="E2" s="2" t="n"/>
      <c r="F2" s="4">
        <f>IF(OR(C2="",D2=""),"",C2*D2)</f>
        <v/>
      </c>
      <c r="G2" s="4">
        <f>IF(OR(C2="",E2=""),"",C2*E2)</f>
        <v/>
      </c>
      <c r="H2" s="2" t="n"/>
      <c r="I2" s="2">
        <f>가정!$B$2</f>
        <v/>
      </c>
      <c r="J2" s="4">
        <f>IF(OR(F2="",H2=""),"",F2*H2)</f>
        <v/>
      </c>
      <c r="K2" s="4">
        <f>IF(OR(J2="",I2=""),"",J2*I2)</f>
        <v/>
      </c>
      <c r="L2" s="2" t="n"/>
      <c r="M2" s="2" t="n"/>
      <c r="N2" s="2" t="n"/>
    </row>
    <row r="3">
      <c r="A3" t="inlineStr">
        <is>
          <t>광학부 (능동 소자 시)</t>
        </is>
      </c>
      <c r="B3" s="2" t="n"/>
      <c r="C3" s="2" t="n"/>
      <c r="D3" s="2" t="n"/>
      <c r="E3" s="2" t="n"/>
      <c r="F3" s="4">
        <f>IF(OR(C3="",D3=""),"",C3*D3)</f>
        <v/>
      </c>
      <c r="G3" s="4">
        <f>IF(OR(C3="",E3=""),"",C3*E3)</f>
        <v/>
      </c>
      <c r="H3" s="2" t="n"/>
      <c r="I3" s="2">
        <f>가정!$B$2</f>
        <v/>
      </c>
      <c r="J3" s="4">
        <f>IF(OR(F3="",H3=""),"",F3*H3)</f>
        <v/>
      </c>
      <c r="K3" s="4">
        <f>IF(OR(J3="",I3=""),"",J3*I3)</f>
        <v/>
      </c>
      <c r="L3" s="2" t="n"/>
      <c r="M3" s="2" t="n"/>
      <c r="N3" s="2" t="n"/>
    </row>
    <row r="4">
      <c r="A4" t="inlineStr">
        <is>
          <t>컴퓨팅 보드</t>
        </is>
      </c>
      <c r="B4" s="2" t="n"/>
      <c r="C4" s="2" t="n"/>
      <c r="D4" s="2" t="n"/>
      <c r="E4" s="2" t="n"/>
      <c r="F4" s="4">
        <f>IF(OR(C4="",D4=""),"",C4*D4)</f>
        <v/>
      </c>
      <c r="G4" s="4">
        <f>IF(OR(C4="",E4=""),"",C4*E4)</f>
        <v/>
      </c>
      <c r="H4" s="2" t="n"/>
      <c r="I4" s="2">
        <f>가정!$B$2</f>
        <v/>
      </c>
      <c r="J4" s="4">
        <f>IF(OR(F4="",H4=""),"",F4*H4)</f>
        <v/>
      </c>
      <c r="K4" s="4">
        <f>IF(OR(J4="",I4=""),"",J4*I4)</f>
        <v/>
      </c>
      <c r="L4" s="2" t="n"/>
      <c r="M4" s="2" t="n"/>
      <c r="N4" s="2" t="n"/>
    </row>
    <row r="5">
      <c r="A5" t="inlineStr">
        <is>
          <t>카메라/ToF</t>
        </is>
      </c>
      <c r="B5" s="2" t="n"/>
      <c r="C5" s="2" t="n"/>
      <c r="D5" s="2" t="n"/>
      <c r="E5" s="2" t="n"/>
      <c r="F5" s="4">
        <f>IF(OR(C5="",D5=""),"",C5*D5)</f>
        <v/>
      </c>
      <c r="G5" s="4">
        <f>IF(OR(C5="",E5=""),"",C5*E5)</f>
        <v/>
      </c>
      <c r="H5" s="2" t="n"/>
      <c r="I5" s="2">
        <f>가정!$B$2</f>
        <v/>
      </c>
      <c r="J5" s="4">
        <f>IF(OR(F5="",H5=""),"",F5*H5)</f>
        <v/>
      </c>
      <c r="K5" s="4">
        <f>IF(OR(J5="",I5=""),"",J5*I5)</f>
        <v/>
      </c>
      <c r="L5" s="2" t="n"/>
      <c r="M5" s="2" t="n"/>
      <c r="N5" s="2" t="n"/>
    </row>
    <row r="6">
      <c r="A6" t="inlineStr">
        <is>
          <t>햅틱 어레이</t>
        </is>
      </c>
      <c r="B6" s="2" t="n"/>
      <c r="C6" s="2" t="n"/>
      <c r="D6" s="2" t="n"/>
      <c r="E6" s="2" t="n"/>
      <c r="F6" s="4">
        <f>IF(OR(C6="",D6=""),"",C6*D6)</f>
        <v/>
      </c>
      <c r="G6" s="4">
        <f>IF(OR(C6="",E6=""),"",C6*E6)</f>
        <v/>
      </c>
      <c r="H6" s="2" t="n"/>
      <c r="I6" s="2">
        <f>가정!$B$2</f>
        <v/>
      </c>
      <c r="J6" s="4">
        <f>IF(OR(F6="",H6=""),"",F6*H6)</f>
        <v/>
      </c>
      <c r="K6" s="4">
        <f>IF(OR(J6="",I6=""),"",J6*I6)</f>
        <v/>
      </c>
      <c r="L6" s="2" t="n"/>
      <c r="M6" s="2" t="n"/>
      <c r="N6" s="2" t="n"/>
    </row>
    <row r="7">
      <c r="A7" t="inlineStr">
        <is>
          <t>조도 센서</t>
        </is>
      </c>
      <c r="B7" s="2" t="n"/>
      <c r="C7" s="2" t="n"/>
      <c r="D7" s="2" t="n"/>
      <c r="E7" s="2" t="n"/>
      <c r="F7" s="4">
        <f>IF(OR(C7="",D7=""),"",C7*D7)</f>
        <v/>
      </c>
      <c r="G7" s="4">
        <f>IF(OR(C7="",E7=""),"",C7*E7)</f>
        <v/>
      </c>
      <c r="H7" s="2" t="n"/>
      <c r="I7" s="2">
        <f>가정!$B$2</f>
        <v/>
      </c>
      <c r="J7" s="4">
        <f>IF(OR(F7="",H7=""),"",F7*H7)</f>
        <v/>
      </c>
      <c r="K7" s="4">
        <f>IF(OR(J7="",I7=""),"",J7*I7)</f>
        <v/>
      </c>
      <c r="L7" s="2" t="n"/>
      <c r="M7" s="2" t="n"/>
      <c r="N7" s="2" t="n"/>
    </row>
    <row r="8">
      <c r="A8" t="inlineStr">
        <is>
          <t>방열 (팬 등)</t>
        </is>
      </c>
      <c r="B8" s="2" t="n"/>
      <c r="C8" s="2" t="n"/>
      <c r="D8" s="2" t="n"/>
      <c r="E8" s="2" t="n"/>
      <c r="F8" s="4">
        <f>IF(OR(C8="",D8=""),"",C8*D8)</f>
        <v/>
      </c>
      <c r="G8" s="4">
        <f>IF(OR(C8="",E8=""),"",C8*E8)</f>
        <v/>
      </c>
      <c r="H8" s="2" t="n"/>
      <c r="I8" s="2">
        <f>가정!$B$2</f>
        <v/>
      </c>
      <c r="J8" s="4">
        <f>IF(OR(F8="",H8=""),"",F8*H8)</f>
        <v/>
      </c>
      <c r="K8" s="4">
        <f>IF(OR(J8="",I8=""),"",J8*I8)</f>
        <v/>
      </c>
      <c r="L8" s="2" t="n"/>
      <c r="M8" s="2" t="n"/>
      <c r="N8" s="2" t="n"/>
    </row>
    <row r="9">
      <c r="A9" t="inlineStr">
        <is>
          <t>안전 인터록</t>
        </is>
      </c>
      <c r="B9" s="2" t="n"/>
      <c r="C9" s="2" t="n"/>
      <c r="D9" s="2" t="n"/>
      <c r="E9" s="2" t="n"/>
      <c r="F9" s="4">
        <f>IF(OR(C9="",D9=""),"",C9*D9)</f>
        <v/>
      </c>
      <c r="G9" s="4">
        <f>IF(OR(C9="",E9=""),"",C9*E9)</f>
        <v/>
      </c>
      <c r="H9" s="2" t="n"/>
      <c r="I9" s="2">
        <f>가정!$B$2</f>
        <v/>
      </c>
      <c r="J9" s="4">
        <f>IF(OR(F9="",H9=""),"",F9*H9)</f>
        <v/>
      </c>
      <c r="K9" s="4">
        <f>IF(OR(J9="",I9=""),"",J9*I9)</f>
        <v/>
      </c>
      <c r="L9" s="2" t="n"/>
      <c r="M9" s="2" t="n"/>
      <c r="N9" s="2" t="n"/>
    </row>
    <row r="10">
      <c r="A10" t="inlineStr">
        <is>
          <t>기타</t>
        </is>
      </c>
      <c r="B10" s="2" t="n"/>
      <c r="C10" s="2" t="n"/>
      <c r="D10" s="2" t="n"/>
      <c r="E10" s="2" t="n"/>
      <c r="F10" s="4">
        <f>IF(OR(C10="",D10=""),"",C10*D10)</f>
        <v/>
      </c>
      <c r="G10" s="4">
        <f>IF(OR(C10="",E10=""),"",C10*E10)</f>
        <v/>
      </c>
      <c r="H10" s="2" t="n"/>
      <c r="I10" s="2">
        <f>가정!$B$2</f>
        <v/>
      </c>
      <c r="J10" s="4">
        <f>IF(OR(F10="",H10=""),"",F10*H10)</f>
        <v/>
      </c>
      <c r="K10" s="4">
        <f>IF(OR(J10="",I10=""),"",J10*I10)</f>
        <v/>
      </c>
      <c r="L10" s="2" t="n"/>
      <c r="M10" s="2" t="n"/>
      <c r="N10" s="2" t="n"/>
    </row>
    <row r="12">
      <c r="A12" s="5" t="inlineStr">
        <is>
          <t>합계 유효 평균 전력 W</t>
        </is>
      </c>
      <c r="B12" s="4">
        <f>SUM(J2:J10)</f>
        <v/>
      </c>
    </row>
    <row r="13">
      <c r="A13" s="5" t="inlineStr">
        <is>
          <t>합계 피크 전력 W (동시 최악)</t>
        </is>
      </c>
      <c r="B13" s="4">
        <f>SUM(G2:G10)</f>
        <v/>
      </c>
    </row>
    <row r="14">
      <c r="A14" s="5" t="inlineStr">
        <is>
          <t>일일 에너지 Wh</t>
        </is>
      </c>
      <c r="B14" s="4">
        <f>SUM(K2:K10)</f>
        <v/>
      </c>
    </row>
    <row r="15">
      <c r="A15" s="5" t="inlineStr">
        <is>
          <t>일일 에너지 kWh</t>
        </is>
      </c>
      <c r="B15" s="4">
        <f>B14/1000</f>
        <v/>
      </c>
    </row>
    <row r="16">
      <c r="A16" s="5" t="inlineStr">
        <is>
          <t>필요 전원 정격 W (피크 × (1+마진))</t>
        </is>
      </c>
      <c r="B16" s="4">
        <f>IF(가정!B3="","마진 미입력",B13*(1+가정!B3))</f>
        <v/>
      </c>
    </row>
    <row r="17">
      <c r="A17" s="5" t="inlineStr">
        <is>
          <t>미입력 부품 수 (평균 W 없음)</t>
        </is>
      </c>
      <c r="B17" s="4">
        <f>COUNTBLANK(F2:F10)</f>
        <v/>
      </c>
    </row>
  </sheetData>
  <dataValidations count="1">
    <dataValidation sqref="H2:H10" showDropDown="0" showInputMessage="0" showErrorMessage="1" allowBlank="1" error="듀티는 0과 1 사이 값이어야 합니다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2" customWidth="1" min="5" max="5"/>
    <col width="26" customWidth="1" min="6" max="6"/>
    <col width="15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측정 위치</t>
        </is>
      </c>
      <c r="B1" s="1" t="inlineStr">
        <is>
          <t>센서 종류</t>
        </is>
      </c>
      <c r="C1" s="1" t="inlineStr">
        <is>
          <t>허용 온도 °C</t>
        </is>
      </c>
      <c r="D1" s="1" t="inlineStr">
        <is>
          <t>쓰로틀 기준 °C</t>
        </is>
      </c>
      <c r="E1" s="1" t="inlineStr">
        <is>
          <t>차단 기준 °C</t>
        </is>
      </c>
      <c r="F1" s="1" t="inlineStr">
        <is>
          <t>기준 출처</t>
        </is>
      </c>
      <c r="G1" s="1" t="inlineStr">
        <is>
          <t>24h 시험 최대 °C</t>
        </is>
      </c>
      <c r="H1" s="1" t="inlineStr">
        <is>
          <t>여유 °C</t>
        </is>
      </c>
      <c r="I1" s="1" t="inlineStr">
        <is>
          <t>판정</t>
        </is>
      </c>
      <c r="J1" s="1" t="inlineStr">
        <is>
          <t>비고</t>
        </is>
      </c>
    </row>
    <row r="2">
      <c r="A2" t="inlineStr">
        <is>
          <t>컴퓨팅 보드 SoC</t>
        </is>
      </c>
      <c r="B2" s="2" t="n"/>
      <c r="C2" s="2" t="n"/>
      <c r="D2" s="2" t="n"/>
      <c r="E2" s="2" t="n"/>
      <c r="F2" s="2" t="n"/>
      <c r="G2" s="2" t="n"/>
      <c r="H2" s="4">
        <f>IF(OR(C2="",G2=""),"",C2-G2)</f>
        <v/>
      </c>
      <c r="I2" s="4">
        <f>IF(H2="","미측정",IF(H2&gt;=0,"합격","불합격"))</f>
        <v/>
      </c>
      <c r="J2" s="2" t="n"/>
    </row>
    <row r="3">
      <c r="A3" t="inlineStr">
        <is>
          <t>디스플레이 패널/백라이트</t>
        </is>
      </c>
      <c r="B3" s="2" t="n"/>
      <c r="C3" s="2" t="n"/>
      <c r="D3" s="2" t="n"/>
      <c r="E3" s="2" t="n"/>
      <c r="F3" s="2" t="n"/>
      <c r="G3" s="2" t="n"/>
      <c r="H3" s="4">
        <f>IF(OR(C3="",G3=""),"",C3-G3)</f>
        <v/>
      </c>
      <c r="I3" s="4">
        <f>IF(H3="","미측정",IF(H3&gt;=0,"합격","불합격"))</f>
        <v/>
      </c>
      <c r="J3" s="2" t="n"/>
    </row>
    <row r="4">
      <c r="A4" t="inlineStr">
        <is>
          <t>햅틱 어레이 구동부</t>
        </is>
      </c>
      <c r="B4" s="2" t="n"/>
      <c r="C4" s="2" t="n"/>
      <c r="D4" s="2" t="n"/>
      <c r="E4" s="2" t="n"/>
      <c r="F4" s="2" t="n"/>
      <c r="G4" s="2" t="n"/>
      <c r="H4" s="4">
        <f>IF(OR(C4="",G4=""),"",C4-G4)</f>
        <v/>
      </c>
      <c r="I4" s="4">
        <f>IF(H4="","미측정",IF(H4&gt;=0,"합격","불합격"))</f>
        <v/>
      </c>
      <c r="J4" s="2" t="n"/>
    </row>
    <row r="5">
      <c r="A5" t="inlineStr">
        <is>
          <t>전원 공급 장치</t>
        </is>
      </c>
      <c r="B5" s="2" t="n"/>
      <c r="C5" s="2" t="n"/>
      <c r="D5" s="2" t="n"/>
      <c r="E5" s="2" t="n"/>
      <c r="F5" s="2" t="n"/>
      <c r="G5" s="2" t="n"/>
      <c r="H5" s="4">
        <f>IF(OR(C5="",G5=""),"",C5-G5)</f>
        <v/>
      </c>
      <c r="I5" s="4">
        <f>IF(H5="","미측정",IF(H5&gt;=0,"합격","불합격"))</f>
        <v/>
      </c>
      <c r="J5" s="2" t="n"/>
    </row>
    <row r="6">
      <c r="A6" t="inlineStr">
        <is>
          <t>외함 표면 (사용자 접촉부)</t>
        </is>
      </c>
      <c r="B6" s="2" t="n"/>
      <c r="C6" s="2" t="n"/>
      <c r="D6" s="2" t="n"/>
      <c r="E6" s="2" t="n"/>
      <c r="F6" s="2" t="n"/>
      <c r="G6" s="2" t="n"/>
      <c r="H6" s="4">
        <f>IF(OR(C6="",G6=""),"",C6-G6)</f>
        <v/>
      </c>
      <c r="I6" s="4">
        <f>IF(H6="","미측정",IF(H6&gt;=0,"합격","불합격"))</f>
        <v/>
      </c>
      <c r="J6" s="2" t="n"/>
    </row>
    <row r="7">
      <c r="A7" t="inlineStr">
        <is>
          <t>흡기</t>
        </is>
      </c>
      <c r="B7" s="2" t="n"/>
      <c r="C7" s="2" t="n"/>
      <c r="D7" s="2" t="n"/>
      <c r="E7" s="2" t="n"/>
      <c r="F7" s="2" t="n"/>
      <c r="G7" s="2" t="n"/>
      <c r="H7" s="4">
        <f>IF(OR(C7="",G7=""),"",C7-G7)</f>
        <v/>
      </c>
      <c r="I7" s="4">
        <f>IF(H7="","미측정",IF(H7&gt;=0,"합격","불합격"))</f>
        <v/>
      </c>
      <c r="J7" s="2" t="n"/>
    </row>
    <row r="8">
      <c r="A8" t="inlineStr">
        <is>
          <t>배기</t>
        </is>
      </c>
      <c r="B8" s="2" t="n"/>
      <c r="C8" s="2" t="n"/>
      <c r="D8" s="2" t="n"/>
      <c r="E8" s="2" t="n"/>
      <c r="F8" s="2" t="n"/>
      <c r="G8" s="2" t="n"/>
      <c r="H8" s="4">
        <f>IF(OR(C8="",G8=""),"",C8-G8)</f>
        <v/>
      </c>
      <c r="I8" s="4">
        <f>IF(H8="","미측정",IF(H8&gt;=0,"합격","불합격"))</f>
        <v/>
      </c>
      <c r="J8" s="2" t="n"/>
    </row>
    <row r="10">
      <c r="A10" s="3" t="inlineStr">
        <is>
          <t>허용·차단 기준은 데이터시트 또는 해당 안전 기준 출처를 반드시 기록한다.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2026-10-12T16:24:03Z</dcterms:created>
  <dcterms:modified xmlns:dcterms="http://purl.org/dc/terms/" xmlns:xsi="http://www.w3.org/2001/XMLSchema-instance" xsi:type="dcterms:W3CDTF">2026-10-12T16:24:03Z</dcterms:modified>
</cp:coreProperties>
</file>